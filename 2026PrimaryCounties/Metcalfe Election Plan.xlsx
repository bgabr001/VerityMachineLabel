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E520F7A9-6370-4C79-ABFE-B658DE8C75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4" l="1"/>
  <c r="F7" i="4"/>
  <c r="D52" i="4"/>
  <c r="D54" i="4" s="1"/>
  <c r="E52" i="4"/>
  <c r="E54" i="4" s="1"/>
  <c r="C52" i="4"/>
  <c r="F4" i="4"/>
  <c r="F46" i="4"/>
  <c r="F43" i="4"/>
  <c r="F40" i="4"/>
  <c r="F37" i="4"/>
  <c r="F34" i="4"/>
  <c r="F31" i="4"/>
  <c r="F28" i="4"/>
  <c r="F25" i="4"/>
  <c r="F22" i="4"/>
  <c r="F19" i="4"/>
  <c r="F16" i="4"/>
  <c r="F13" i="4"/>
  <c r="F10" i="4"/>
  <c r="F52" i="4" l="1"/>
  <c r="C54" i="4"/>
</calcChain>
</file>

<file path=xl/sharedStrings.xml><?xml version="1.0" encoding="utf-8"?>
<sst xmlns="http://schemas.openxmlformats.org/spreadsheetml/2006/main" count="73" uniqueCount="51">
  <si>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</si>
  <si>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</si>
  <si>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</si>
  <si>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</si>
  <si>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</si>
  <si>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</si>
  <si>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</si>
  <si>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</si>
  <si>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</si>
  <si>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</si>
  <si>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D102</t>
  </si>
  <si>
    <t>D101</t>
  </si>
  <si>
    <t>C102</t>
  </si>
  <si>
    <t>B104</t>
  </si>
  <si>
    <t>B103</t>
  </si>
  <si>
    <t>B102</t>
  </si>
  <si>
    <t>B101</t>
  </si>
  <si>
    <t>A104</t>
  </si>
  <si>
    <t>A103</t>
  </si>
  <si>
    <t>A102</t>
  </si>
  <si>
    <t>A101</t>
  </si>
  <si>
    <t>COUNTY: METCALFE</t>
  </si>
  <si>
    <t>MACHINES USED FOR ELECTION</t>
  </si>
  <si>
    <t>MACHINES OWNED</t>
  </si>
  <si>
    <t># OF SPARES</t>
  </si>
  <si>
    <t>ABSENTEE WALK-IN</t>
  </si>
  <si>
    <t>EARLY VOTING</t>
  </si>
  <si>
    <t>EAST EDMONTON</t>
  </si>
  <si>
    <t>WEST EDMONTON</t>
  </si>
  <si>
    <t>RANDOLPH-WISDOM</t>
  </si>
  <si>
    <t>EAST FORK-SPARKS</t>
  </si>
  <si>
    <t>KNOB LICK</t>
  </si>
  <si>
    <t>SAVOYARD</t>
  </si>
  <si>
    <t>CENTER</t>
  </si>
  <si>
    <t>SULPHUR WELL</t>
  </si>
  <si>
    <t>SUMMER SHADE</t>
  </si>
  <si>
    <t>WILLOW SHADE-BEAUMONT</t>
  </si>
  <si>
    <t>GOOD LUCK-CURTIS</t>
  </si>
  <si>
    <t>MOORE SPRINGS-FLAT ROCK</t>
  </si>
  <si>
    <t xml:space="preserve">                    PRECINCTS</t>
  </si>
  <si>
    <t xml:space="preserve">                 PRECINCTS</t>
  </si>
  <si>
    <t xml:space="preserve">               PRECINCTS</t>
  </si>
  <si>
    <t xml:space="preserve">              PRECINCTS</t>
  </si>
  <si>
    <t xml:space="preserve">                     PRECINCTS</t>
  </si>
  <si>
    <t xml:space="preserve">                  PRECINCTS</t>
  </si>
  <si>
    <t xml:space="preserve">                   PRECINCTS</t>
  </si>
  <si>
    <t xml:space="preserve">                PRECINCTS</t>
  </si>
  <si>
    <t xml:space="preserve">     Signature                                           Date</t>
  </si>
  <si>
    <t>C101</t>
  </si>
  <si>
    <t>ALL PRECINCTS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</si>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</sst>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60"/>
  <sheetViews>
    <sheetView tabSelected="1" topLeftCell="A16" workbookViewId="0">
      <selection activeCell="E11" sqref="E11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21</v>
      </c>
      <c r="B1" s="17"/>
      <c r="C1" s="18"/>
      <c r="D1" s="17"/>
      <c r="E1" s="18"/>
      <c r="F1" s="11"/>
    </row>
    <row r="2" spans="1:6" ht="20.25" x14ac:dyDescent="0.2">
      <c r="A2" s="15" t="s">
        <v>50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25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26</v>
      </c>
      <c r="B10" s="5"/>
      <c r="C10" s="5">
        <v>1</v>
      </c>
      <c r="D10" s="5">
        <v>1</v>
      </c>
      <c r="E10" s="5">
        <v>2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27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39</v>
      </c>
      <c r="B14" s="5" t="s">
        <v>20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28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40</v>
      </c>
      <c r="B17" s="5" t="s">
        <v>19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29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41</v>
      </c>
      <c r="B20" s="5" t="s">
        <v>18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30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40</v>
      </c>
      <c r="B23" s="5" t="s">
        <v>17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31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42</v>
      </c>
      <c r="B26" s="5" t="s">
        <v>16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32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43</v>
      </c>
      <c r="B29" s="5" t="s">
        <v>15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33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44</v>
      </c>
      <c r="B32" s="5" t="s">
        <v>14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34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45</v>
      </c>
      <c r="B35" s="5" t="s">
        <v>13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35</v>
      </c>
      <c r="B37" s="5" t="s">
        <v>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43</v>
      </c>
      <c r="B38" s="5" t="s">
        <v>48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36</v>
      </c>
      <c r="B40" s="5" t="s">
        <v>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46</v>
      </c>
      <c r="B41" s="5" t="s">
        <v>12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37</v>
      </c>
      <c r="B43" s="5" t="s">
        <v>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43</v>
      </c>
      <c r="B44" s="5" t="s">
        <v>11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38</v>
      </c>
      <c r="B46" s="5" t="s">
        <v>3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x14ac:dyDescent="0.2">
      <c r="A47" s="7" t="s">
        <v>45</v>
      </c>
      <c r="B47" s="5" t="s">
        <v>10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49</v>
      </c>
      <c r="B49" s="5" t="s">
        <v>3</v>
      </c>
      <c r="C49" s="5">
        <v>0</v>
      </c>
      <c r="D49" s="5">
        <v>0</v>
      </c>
      <c r="E49" s="5">
        <v>0</v>
      </c>
      <c r="F49" s="10">
        <f>SUM(C49:E49)</f>
        <v>0</v>
      </c>
    </row>
    <row r="50" spans="1:6" ht="15.75" x14ac:dyDescent="0.2">
      <c r="A50" s="7" t="s">
        <v>45</v>
      </c>
      <c r="B50" s="5" t="s">
        <v>6</v>
      </c>
      <c r="C50" s="5"/>
      <c r="D50" s="5"/>
      <c r="E50" s="5"/>
      <c r="F50" s="5"/>
    </row>
    <row r="51" spans="1:6" ht="6.95" customHeight="1" x14ac:dyDescent="0.2">
      <c r="A51" s="12"/>
      <c r="B51" s="13"/>
      <c r="C51" s="13"/>
      <c r="D51" s="13"/>
      <c r="E51" s="13"/>
      <c r="F51" s="13"/>
    </row>
    <row r="52" spans="1:6" ht="15.75" x14ac:dyDescent="0.2">
      <c r="A52" s="8" t="s">
        <v>22</v>
      </c>
      <c r="B52" s="9"/>
      <c r="C52" s="9">
        <f>SUM(C4:C50)</f>
        <v>15</v>
      </c>
      <c r="D52" s="9">
        <f t="shared" ref="D52:E52" si="0">SUM(D4:D50)</f>
        <v>13</v>
      </c>
      <c r="E52" s="9">
        <f t="shared" si="0"/>
        <v>3</v>
      </c>
      <c r="F52" s="9">
        <f>SUM(C52:E52)</f>
        <v>31</v>
      </c>
    </row>
    <row r="53" spans="1:6" ht="15.75" x14ac:dyDescent="0.2">
      <c r="A53" s="7" t="s">
        <v>23</v>
      </c>
      <c r="B53" s="5"/>
      <c r="C53" s="5">
        <v>16</v>
      </c>
      <c r="D53" s="5">
        <v>15</v>
      </c>
      <c r="E53" s="5">
        <v>3</v>
      </c>
      <c r="F53" s="5"/>
    </row>
    <row r="54" spans="1:6" ht="15.75" x14ac:dyDescent="0.2">
      <c r="A54" s="14" t="s">
        <v>24</v>
      </c>
      <c r="B54" s="10"/>
      <c r="C54" s="10">
        <f>SUM(C53-C52)</f>
        <v>1</v>
      </c>
      <c r="D54" s="10">
        <f t="shared" ref="D54:E54" si="1">SUM(D53-D52)</f>
        <v>2</v>
      </c>
      <c r="E54" s="10">
        <f t="shared" si="1"/>
        <v>0</v>
      </c>
      <c r="F54" s="10"/>
    </row>
    <row r="58" spans="1:6" x14ac:dyDescent="0.2">
      <c r="B58" s="21"/>
      <c r="C58" s="21"/>
      <c r="D58" s="21"/>
      <c r="E58" s="21"/>
      <c r="F58" s="21"/>
    </row>
    <row r="59" spans="1:6" x14ac:dyDescent="0.2">
      <c r="B59" s="16" t="s">
        <v>47</v>
      </c>
      <c r="C59" s="16"/>
      <c r="D59" s="16"/>
      <c r="E59" s="16"/>
      <c r="F59" s="16"/>
    </row>
    <row r="60" spans="1:6" x14ac:dyDescent="0.2">
      <c r="B60"/>
      <c r="C60"/>
      <c r="D60"/>
      <c r="E60"/>
      <c r="F60"/>
    </row>
  </sheetData>
  <mergeCells count="6">
    <mergeCell ref="B59:F59"/>
    <mergeCell ref="B1:C1"/>
    <mergeCell ref="B2:C2"/>
    <mergeCell ref="D1:E1"/>
    <mergeCell ref="D2:E2"/>
    <mergeCell ref="B58:F58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2024-07-17T12:18:31Z</cp:lastPrinted>
  <dcterms:created xsi:type="dcterms:W3CDTF">2010-12-21T15:05:34Z</dcterms:created>
  <dcterms:modified xsi:type="dcterms:W3CDTF">2026-01-13T18:01:44Z</dcterms:modified>
</cp:coreProperties>
</file>