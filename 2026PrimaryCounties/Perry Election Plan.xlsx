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F026EDFD-E6B7-4913-B77F-19AB126F31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6" i="4" l="1"/>
  <c r="E78" i="4" s="1"/>
  <c r="D76" i="4"/>
  <c r="D78" i="4" s="1"/>
  <c r="C76" i="4"/>
  <c r="C78" i="4" s="1"/>
  <c r="F73" i="4"/>
  <c r="F7" i="4"/>
  <c r="F70" i="4"/>
  <c r="F67" i="4"/>
  <c r="F64" i="4"/>
  <c r="F61" i="4"/>
  <c r="F58" i="4"/>
  <c r="F76" i="4" l="1"/>
  <c r="F4" i="4"/>
  <c r="F46" i="4"/>
  <c r="F43" i="4"/>
  <c r="F40" i="4"/>
  <c r="F37" i="4"/>
  <c r="F34" i="4"/>
  <c r="F31" i="4"/>
  <c r="F28" i="4"/>
  <c r="F25" i="4"/>
  <c r="F22" i="4"/>
  <c r="F19" i="4"/>
  <c r="F16" i="4"/>
  <c r="F13" i="4"/>
  <c r="F55" i="4"/>
  <c r="F52" i="4"/>
  <c r="F49" i="4"/>
  <c r="F10" i="4"/>
</calcChain>
</file>

<file path=xl/sharedStrings.xml><?xml version="1.0" encoding="utf-8"?>
<sst xmlns="http://schemas.openxmlformats.org/spreadsheetml/2006/main" count="113" uniqueCount="64">
  <si>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</si>
  <si>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</si>
  <si>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</si>
  <si>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</si>
  <si>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</si>
  <si>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</si>
  <si>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</si>
  <si>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</si>
  <si>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</si>
  <si>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</si>
  <si>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A101</t>
  </si>
  <si>
    <t>A103</t>
  </si>
  <si>
    <t>EARLY VOTING</t>
  </si>
  <si>
    <t>OLD SEARS BUILDING</t>
  </si>
  <si>
    <t>WHITAKER ATHLETIC CENTER</t>
  </si>
  <si>
    <t>PERRY CENTRAL HIGH SCHOOL</t>
  </si>
  <si>
    <t>GOSPEL LIGHT BAPT. YOUTH &amp; COMM. CENTER</t>
  </si>
  <si>
    <t>HAZARD MIDDLE SCHOOL</t>
  </si>
  <si>
    <t>LOST CREEK FIRE DEPARTMENT</t>
  </si>
  <si>
    <t>KRYPTON FIRE DEPARTMENT</t>
  </si>
  <si>
    <t>LEATHERWOOD ELEM. SCHOOL</t>
  </si>
  <si>
    <t>DWARF BAPTIST CHURCH</t>
  </si>
  <si>
    <t>JAKES BRANCH VOL. FIRE DEPT.</t>
  </si>
  <si>
    <t>AVAWAM FIRE DEPARTMENT</t>
  </si>
  <si>
    <t>BIBLE BAPTIST CHURCH/SAM FUGATE</t>
  </si>
  <si>
    <t>FRONTLINE MINISTRIES</t>
  </si>
  <si>
    <t>PERRY COUNTY PUBLIC LIBRARY</t>
  </si>
  <si>
    <t>PERRY COUNTY COURTHOUSE</t>
  </si>
  <si>
    <t>HAZARD FIRE STATION #2</t>
  </si>
  <si>
    <t>A109</t>
  </si>
  <si>
    <t>C110</t>
  </si>
  <si>
    <t>A112</t>
  </si>
  <si>
    <t>C106</t>
  </si>
  <si>
    <t>B113</t>
  </si>
  <si>
    <t>CORNETTSVILLE FIRE DEPARTMENT</t>
  </si>
  <si>
    <t>COUNTY: PERRY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</si>
  <si>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</si>
  <si>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</si>
  <si>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</si>
  <si>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</si>
  <si>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</si>
  <si>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B107</t>
  </si>
  <si>
    <t>B112</t>
  </si>
  <si>
    <t>C108</t>
  </si>
  <si>
    <t>C109</t>
  </si>
  <si>
    <t>A107</t>
  </si>
  <si>
    <t>A108</t>
  </si>
  <si>
    <t>B106</t>
  </si>
  <si>
    <t>C102</t>
  </si>
  <si>
    <t>A113</t>
  </si>
  <si>
    <t>B101</t>
  </si>
  <si>
    <t>A104</t>
  </si>
  <si>
    <t>A105</t>
  </si>
  <si>
    <t>A110</t>
  </si>
  <si>
    <t>A111</t>
  </si>
  <si>
    <t>B108</t>
  </si>
  <si>
    <t>B109</t>
  </si>
  <si>
    <t>B110</t>
  </si>
  <si>
    <t>MEMORIAL GYM</t>
  </si>
  <si>
    <t>E O ROBINSON HOMEPLACE COMMUNITY CENTER</t>
  </si>
  <si>
    <t>VICCO-SASSAFRAS VOL. FIRE DEPT.</t>
  </si>
  <si>
    <t>BUCKHORN HIGH SCHOOL</t>
  </si>
  <si>
    <t>ELECTION: 2026P</t>
  </si>
  <si>
    <t>C103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</si>
</sst>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84"/>
  <sheetViews>
    <sheetView tabSelected="1" topLeftCell="A47" workbookViewId="0">
      <selection activeCell="H57" sqref="H57"/>
    </sheetView>
  </sheetViews>
  <sheetFormatPr defaultRowHeight="12.75" x14ac:dyDescent="0.2"/>
  <cols>
    <col min="1" max="1" width="60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35</v>
      </c>
      <c r="B1" s="19"/>
      <c r="C1" s="20"/>
      <c r="D1" s="19"/>
      <c r="E1" s="20"/>
      <c r="F1" s="15"/>
    </row>
    <row r="2" spans="1:6" ht="20.25" x14ac:dyDescent="0.2">
      <c r="A2" s="17" t="s">
        <v>62</v>
      </c>
      <c r="B2" s="19"/>
      <c r="C2" s="20"/>
      <c r="D2" s="19"/>
      <c r="E2" s="20"/>
      <c r="F2" s="15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40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12</v>
      </c>
      <c r="B10" s="5"/>
      <c r="C10" s="5">
        <v>4</v>
      </c>
      <c r="D10" s="5">
        <v>3</v>
      </c>
      <c r="E10" s="5">
        <v>3</v>
      </c>
      <c r="F10" s="10">
        <f>SUM(C10:E10)</f>
        <v>10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26</v>
      </c>
      <c r="B13" s="5" t="s">
        <v>3</v>
      </c>
      <c r="C13" s="5">
        <v>1</v>
      </c>
      <c r="D13" s="5">
        <v>1</v>
      </c>
      <c r="E13" s="5">
        <v>1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14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16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17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41</v>
      </c>
      <c r="C26" s="5" t="s">
        <v>42</v>
      </c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61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10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18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29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19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11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34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43</v>
      </c>
      <c r="C38" s="5" t="s">
        <v>44</v>
      </c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20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2</v>
      </c>
      <c r="B41" s="5" t="s">
        <v>30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21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31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60</v>
      </c>
      <c r="B46" s="5" t="s">
        <v>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2</v>
      </c>
      <c r="B47" s="5" t="s">
        <v>32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22</v>
      </c>
      <c r="B49" s="5" t="s">
        <v>3</v>
      </c>
      <c r="C49" s="5">
        <v>1</v>
      </c>
      <c r="D49" s="5">
        <v>1</v>
      </c>
      <c r="E49" s="5">
        <v>0</v>
      </c>
      <c r="F49" s="10">
        <f>SUM(C49:E49)</f>
        <v>2</v>
      </c>
    </row>
    <row r="50" spans="1:6" ht="15.75" x14ac:dyDescent="0.2">
      <c r="A50" s="7" t="s">
        <v>2</v>
      </c>
      <c r="B50" s="5" t="s">
        <v>45</v>
      </c>
      <c r="C50" s="5" t="s">
        <v>46</v>
      </c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23</v>
      </c>
      <c r="B52" s="5" t="s">
        <v>3</v>
      </c>
      <c r="C52" s="5">
        <v>1</v>
      </c>
      <c r="D52" s="5">
        <v>1</v>
      </c>
      <c r="E52" s="5">
        <v>0</v>
      </c>
      <c r="F52" s="10">
        <f>SUM(C52:E52)</f>
        <v>2</v>
      </c>
    </row>
    <row r="53" spans="1:6" s="11" customFormat="1" ht="15.75" x14ac:dyDescent="0.2">
      <c r="A53" s="7" t="s">
        <v>2</v>
      </c>
      <c r="B53" s="5" t="s">
        <v>47</v>
      </c>
      <c r="C53" s="5" t="s">
        <v>48</v>
      </c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24</v>
      </c>
      <c r="B55" s="5" t="s">
        <v>3</v>
      </c>
      <c r="C55" s="5">
        <v>1</v>
      </c>
      <c r="D55" s="5">
        <v>1</v>
      </c>
      <c r="E55" s="5">
        <v>0</v>
      </c>
      <c r="F55" s="10">
        <f>SUM(C55:E55)</f>
        <v>2</v>
      </c>
    </row>
    <row r="56" spans="1:6" s="11" customFormat="1" ht="15.75" x14ac:dyDescent="0.2">
      <c r="A56" s="7" t="s">
        <v>2</v>
      </c>
      <c r="B56" s="5" t="s">
        <v>49</v>
      </c>
      <c r="C56" s="5" t="s">
        <v>50</v>
      </c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25</v>
      </c>
      <c r="B58" s="5" t="s">
        <v>3</v>
      </c>
      <c r="C58" s="5">
        <v>1</v>
      </c>
      <c r="D58" s="5">
        <v>1</v>
      </c>
      <c r="E58" s="5">
        <v>0</v>
      </c>
      <c r="F58" s="10">
        <f>SUM(C58:E58)</f>
        <v>2</v>
      </c>
    </row>
    <row r="59" spans="1:6" s="11" customFormat="1" ht="15.75" x14ac:dyDescent="0.2">
      <c r="A59" s="7" t="s">
        <v>2</v>
      </c>
      <c r="B59" s="5" t="s">
        <v>51</v>
      </c>
      <c r="C59" s="5" t="s">
        <v>52</v>
      </c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59</v>
      </c>
      <c r="B61" s="5" t="s">
        <v>3</v>
      </c>
      <c r="C61" s="5">
        <v>1</v>
      </c>
      <c r="D61" s="5">
        <v>1</v>
      </c>
      <c r="E61" s="5">
        <v>1</v>
      </c>
      <c r="F61" s="10">
        <f>SUM(C61:E61)</f>
        <v>3</v>
      </c>
    </row>
    <row r="62" spans="1:6" s="11" customFormat="1" ht="15.75" x14ac:dyDescent="0.2">
      <c r="A62" s="7" t="s">
        <v>2</v>
      </c>
      <c r="B62" s="5" t="s">
        <v>53</v>
      </c>
      <c r="C62" s="5" t="s">
        <v>54</v>
      </c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13</v>
      </c>
      <c r="B64" s="5" t="s">
        <v>3</v>
      </c>
      <c r="C64" s="5">
        <v>1</v>
      </c>
      <c r="D64" s="5">
        <v>1</v>
      </c>
      <c r="E64" s="5">
        <v>0</v>
      </c>
      <c r="F64" s="10">
        <f>SUM(C64:E64)</f>
        <v>2</v>
      </c>
    </row>
    <row r="65" spans="1:6" s="11" customFormat="1" ht="15.75" x14ac:dyDescent="0.2">
      <c r="A65" s="7" t="s">
        <v>2</v>
      </c>
      <c r="B65" s="5" t="s">
        <v>63</v>
      </c>
      <c r="C65" s="5"/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27</v>
      </c>
      <c r="B67" s="5" t="s">
        <v>3</v>
      </c>
      <c r="C67" s="5">
        <v>1</v>
      </c>
      <c r="D67" s="5">
        <v>1</v>
      </c>
      <c r="E67" s="5">
        <v>0</v>
      </c>
      <c r="F67" s="10">
        <f t="shared" ref="F67" si="0">SUM(C67:E67)</f>
        <v>2</v>
      </c>
    </row>
    <row r="68" spans="1:6" s="11" customFormat="1" ht="15.75" x14ac:dyDescent="0.2">
      <c r="A68" s="7" t="s">
        <v>2</v>
      </c>
      <c r="B68" s="5" t="s">
        <v>55</v>
      </c>
      <c r="C68" s="5" t="s">
        <v>56</v>
      </c>
      <c r="D68" s="5"/>
      <c r="E68" s="5"/>
      <c r="F68" s="5"/>
    </row>
    <row r="69" spans="1:6" ht="15.75" x14ac:dyDescent="0.2">
      <c r="A69" s="8"/>
      <c r="B69" s="9"/>
      <c r="C69" s="9"/>
      <c r="D69" s="9"/>
      <c r="E69" s="9"/>
      <c r="F69" s="9"/>
    </row>
    <row r="70" spans="1:6" ht="15.75" x14ac:dyDescent="0.2">
      <c r="A70" s="6" t="s">
        <v>28</v>
      </c>
      <c r="B70" s="5" t="s">
        <v>3</v>
      </c>
      <c r="C70" s="5">
        <v>1</v>
      </c>
      <c r="D70" s="5">
        <v>1</v>
      </c>
      <c r="E70" s="5">
        <v>0</v>
      </c>
      <c r="F70" s="10">
        <f>SUM(C70:E70)</f>
        <v>2</v>
      </c>
    </row>
    <row r="71" spans="1:6" s="11" customFormat="1" ht="15.75" x14ac:dyDescent="0.2">
      <c r="A71" s="7" t="s">
        <v>2</v>
      </c>
      <c r="B71" s="5" t="s">
        <v>33</v>
      </c>
      <c r="C71" s="5"/>
      <c r="D71" s="5"/>
      <c r="E71" s="5"/>
      <c r="F71" s="5"/>
    </row>
    <row r="72" spans="1:6" s="11" customFormat="1" ht="15.75" x14ac:dyDescent="0.2">
      <c r="A72" s="8"/>
      <c r="B72" s="9"/>
      <c r="C72" s="9"/>
      <c r="D72" s="9"/>
      <c r="E72" s="9"/>
      <c r="F72" s="9"/>
    </row>
    <row r="73" spans="1:6" s="11" customFormat="1" ht="15.75" x14ac:dyDescent="0.2">
      <c r="A73" s="6" t="s">
        <v>58</v>
      </c>
      <c r="B73" s="5" t="s">
        <v>3</v>
      </c>
      <c r="C73" s="5">
        <v>1</v>
      </c>
      <c r="D73" s="5">
        <v>1</v>
      </c>
      <c r="E73" s="5">
        <v>0</v>
      </c>
      <c r="F73" s="10">
        <f>SUM(C73:E73)</f>
        <v>2</v>
      </c>
    </row>
    <row r="74" spans="1:6" s="11" customFormat="1" ht="15.75" x14ac:dyDescent="0.2">
      <c r="A74" s="7" t="s">
        <v>2</v>
      </c>
      <c r="B74" s="5" t="s">
        <v>57</v>
      </c>
      <c r="C74" s="5"/>
      <c r="D74" s="5"/>
      <c r="E74" s="5"/>
      <c r="F74" s="5"/>
    </row>
    <row r="75" spans="1:6" ht="6.95" customHeight="1" x14ac:dyDescent="0.2">
      <c r="A75" s="12"/>
      <c r="B75" s="13"/>
      <c r="C75" s="13"/>
      <c r="D75" s="13"/>
      <c r="E75" s="13"/>
      <c r="F75" s="13"/>
    </row>
    <row r="76" spans="1:6" ht="15.75" x14ac:dyDescent="0.2">
      <c r="A76" s="8" t="s">
        <v>36</v>
      </c>
      <c r="B76" s="9"/>
      <c r="C76" s="9">
        <f>SUM(C4:C74)</f>
        <v>30</v>
      </c>
      <c r="D76" s="9">
        <f>SUM(D4:D74)</f>
        <v>25</v>
      </c>
      <c r="E76" s="9">
        <f>SUM(E4:E74)</f>
        <v>14</v>
      </c>
      <c r="F76" s="9">
        <f>SUM(C76:E76)</f>
        <v>69</v>
      </c>
    </row>
    <row r="77" spans="1:6" ht="15.75" x14ac:dyDescent="0.2">
      <c r="A77" s="7" t="s">
        <v>37</v>
      </c>
      <c r="B77" s="5"/>
      <c r="C77" s="5">
        <v>39</v>
      </c>
      <c r="D77" s="5">
        <v>26</v>
      </c>
      <c r="E77" s="5">
        <v>14</v>
      </c>
      <c r="F77" s="5"/>
    </row>
    <row r="78" spans="1:6" ht="15.75" x14ac:dyDescent="0.2">
      <c r="A78" s="14" t="s">
        <v>38</v>
      </c>
      <c r="B78" s="10"/>
      <c r="C78" s="10">
        <f>SUM(C77-C76)</f>
        <v>9</v>
      </c>
      <c r="D78" s="10">
        <f t="shared" ref="D78:E78" si="1">SUM(D77-D76)</f>
        <v>1</v>
      </c>
      <c r="E78" s="10">
        <f t="shared" si="1"/>
        <v>0</v>
      </c>
      <c r="F78" s="10"/>
    </row>
    <row r="82" spans="2:6" x14ac:dyDescent="0.2">
      <c r="B82" s="21"/>
      <c r="C82" s="21"/>
      <c r="D82" s="21"/>
      <c r="E82" s="21"/>
      <c r="F82" s="21"/>
    </row>
    <row r="83" spans="2:6" x14ac:dyDescent="0.2">
      <c r="B83" s="18" t="s">
        <v>39</v>
      </c>
      <c r="C83" s="18"/>
      <c r="D83" s="18"/>
      <c r="E83" s="18"/>
      <c r="F83" s="18"/>
    </row>
    <row r="84" spans="2:6" x14ac:dyDescent="0.2">
      <c r="B84" s="16"/>
      <c r="C84" s="16"/>
      <c r="D84" s="16"/>
      <c r="E84" s="16"/>
      <c r="F84" s="16"/>
    </row>
  </sheetData>
  <mergeCells count="6">
    <mergeCell ref="B83:F83"/>
    <mergeCell ref="B1:C1"/>
    <mergeCell ref="B2:C2"/>
    <mergeCell ref="D1:E1"/>
    <mergeCell ref="D2:E2"/>
    <mergeCell ref="B82:F82"/>
  </mergeCells>
  <pageMargins left="0.7" right="0.7" top="0.75" bottom="0.75" header="0.3" footer="0.3"/>
  <pageSetup scale="83" fitToHeight="0" orientation="portrait" horizontalDpi="1200" verticalDpi="1200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2026-01-22T13:29:49Z</cp:lastPrinted>
  <dcterms:created xsi:type="dcterms:W3CDTF">2010-12-21T15:05:34Z</dcterms:created>
  <dcterms:modified xsi:type="dcterms:W3CDTF">2026-01-22T13:29:49Z</dcterms:modified>
</cp:coreProperties>
</file>