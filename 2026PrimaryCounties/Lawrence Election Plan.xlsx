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2D73A140-AC65-435F-AF3B-390E8411B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4" l="1"/>
  <c r="C48" i="4" s="1"/>
  <c r="F43" i="4"/>
  <c r="F7" i="4"/>
  <c r="E46" i="4"/>
  <c r="E48" i="4" s="1"/>
  <c r="D46" i="4"/>
  <c r="D48" i="4" s="1"/>
  <c r="F4" i="4" l="1"/>
  <c r="F40" i="4"/>
  <c r="F37" i="4"/>
  <c r="F34" i="4"/>
  <c r="F31" i="4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<sst xmlns="http://schemas.openxmlformats.org/spreadsheetml/2006/main" count="74" uniqueCount="48">
  <si>
    <t>POLLING PLACE NAME</t>
  </si>
  <si>
    <t>VOTING TYPE</t>
  </si>
  <si>
    <t>PRECINCTS</t>
  </si>
  <si>
    <t>ED</t>
  </si>
  <si>
    <t>ALL</t>
  </si>
  <si>
    <t>TOTAL</t>
  </si>
  <si>
    <t>A101</t>
  </si>
  <si>
    <t>A103</t>
  </si>
  <si>
    <t>EARLY VOTING</t>
  </si>
  <si>
    <t>BRAMMER GAP</t>
  </si>
  <si>
    <t>A104</t>
  </si>
  <si>
    <t>B101</t>
  </si>
  <si>
    <t>WEST LOUISA</t>
  </si>
  <si>
    <t>B102</t>
  </si>
  <si>
    <t>B103</t>
  </si>
  <si>
    <t>C101</t>
  </si>
  <si>
    <t>C102</t>
  </si>
  <si>
    <t>C103</t>
  </si>
  <si>
    <t>C104</t>
  </si>
  <si>
    <t>C105</t>
  </si>
  <si>
    <t>D101</t>
  </si>
  <si>
    <t>CLIFFORD</t>
  </si>
  <si>
    <t>D102</t>
  </si>
  <si>
    <t>D103</t>
  </si>
  <si>
    <t>D104</t>
  </si>
  <si>
    <t>D105</t>
  </si>
  <si>
    <t>D106</t>
  </si>
  <si>
    <t>BUCHANAN-DEEPHOLE</t>
  </si>
  <si>
    <t>EAST LOUISA-POINT-STELLA MOORE</t>
  </si>
  <si>
    <t>ADAMS-SPRING HILL</t>
  </si>
  <si>
    <t>BRUSHY-BLAINE-MARTHA</t>
  </si>
  <si>
    <t>MEADS BRANCH-RICHARDSON</t>
  </si>
  <si>
    <t>CHERRYVILLE-MEADOWBROOK</t>
  </si>
  <si>
    <t>MACHINES USED FOR ELECTION</t>
  </si>
  <si>
    <t>MACHINES OWNED</t>
  </si>
  <si>
    <t># OF SPARES</t>
  </si>
  <si>
    <t># OF ADA</t>
  </si>
  <si>
    <t># OF SCAN</t>
  </si>
  <si>
    <t># OF PRINT</t>
  </si>
  <si>
    <t>COUNTY: LAWRENCE</t>
  </si>
  <si>
    <t>ABSENTEE MAIL-IN</t>
  </si>
  <si>
    <t>ABSENTEE WALK-IN</t>
  </si>
  <si>
    <t>FALLSBURG</t>
  </si>
  <si>
    <t>A102</t>
  </si>
  <si>
    <t xml:space="preserve">     Signature                                           Date</t>
  </si>
  <si>
    <t>ALL PRECINCTS</t>
  </si>
  <si>
    <t>ELECTION: 2026P</t>
  </si>
  <si>
    <t>*This Machine is used in AB and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</si>
</sst>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4"/>
  <sheetViews>
    <sheetView tabSelected="1" topLeftCell="A2" workbookViewId="0">
      <selection activeCell="J46" sqref="J46"/>
    </sheetView>
  </sheetViews>
  <sheetFormatPr defaultRowHeight="12.75" x14ac:dyDescent="0.2"/>
  <cols>
    <col min="1" max="1" width="44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39</v>
      </c>
      <c r="B1" s="17"/>
      <c r="C1" s="18"/>
      <c r="D1" s="11"/>
      <c r="E1" s="11"/>
      <c r="F1" s="12"/>
    </row>
    <row r="2" spans="1:6" ht="20.25" x14ac:dyDescent="0.2">
      <c r="A2" s="16" t="s">
        <v>46</v>
      </c>
      <c r="B2" s="17"/>
      <c r="C2" s="18"/>
      <c r="D2" s="11"/>
      <c r="E2" s="11"/>
      <c r="F2" s="12"/>
    </row>
    <row r="3" spans="1:6" ht="36" customHeight="1" x14ac:dyDescent="0.2">
      <c r="A3" s="3" t="s">
        <v>0</v>
      </c>
      <c r="B3" s="4" t="s">
        <v>1</v>
      </c>
      <c r="C3" s="4" t="s">
        <v>37</v>
      </c>
      <c r="D3" s="4" t="s">
        <v>36</v>
      </c>
      <c r="E3" s="4" t="s">
        <v>38</v>
      </c>
      <c r="F3" s="5" t="s">
        <v>5</v>
      </c>
    </row>
    <row r="4" spans="1:6" ht="15.75" x14ac:dyDescent="0.2">
      <c r="A4" s="6" t="s">
        <v>40</v>
      </c>
      <c r="B4" s="5"/>
      <c r="C4" s="5">
        <v>1</v>
      </c>
      <c r="D4" s="5">
        <v>0</v>
      </c>
      <c r="E4" s="21">
        <v>1</v>
      </c>
      <c r="F4" s="10">
        <f>SUM(C4:D4)</f>
        <v>1</v>
      </c>
    </row>
    <row r="5" spans="1:6" ht="15.75" x14ac:dyDescent="0.2">
      <c r="A5" s="7" t="s">
        <v>2</v>
      </c>
      <c r="B5" s="5" t="s">
        <v>4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41</v>
      </c>
      <c r="B7" s="5"/>
      <c r="C7" s="5">
        <v>1</v>
      </c>
      <c r="D7" s="5">
        <v>1</v>
      </c>
      <c r="E7" s="5">
        <v>0</v>
      </c>
      <c r="F7" s="10">
        <f>SUM(C7:D7)</f>
        <v>2</v>
      </c>
    </row>
    <row r="8" spans="1:6" ht="15.75" x14ac:dyDescent="0.2">
      <c r="A8" s="7" t="s">
        <v>2</v>
      </c>
      <c r="B8" s="5" t="s">
        <v>4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8</v>
      </c>
      <c r="B10" s="5"/>
      <c r="C10" s="5">
        <v>1</v>
      </c>
      <c r="D10" s="5">
        <v>1</v>
      </c>
      <c r="E10" s="21">
        <v>0</v>
      </c>
      <c r="F10" s="10">
        <f>SUM(C10:D10)</f>
        <v>2</v>
      </c>
    </row>
    <row r="11" spans="1:6" ht="15.75" x14ac:dyDescent="0.2">
      <c r="A11" s="7" t="s">
        <v>2</v>
      </c>
      <c r="B11" s="5" t="s">
        <v>4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42</v>
      </c>
      <c r="B13" s="5" t="s">
        <v>3</v>
      </c>
      <c r="C13" s="5">
        <v>2</v>
      </c>
      <c r="D13" s="5">
        <v>1</v>
      </c>
      <c r="E13" s="5">
        <v>0</v>
      </c>
      <c r="F13" s="10">
        <f>SUM(C13:D13)</f>
        <v>3</v>
      </c>
    </row>
    <row r="14" spans="1:6" ht="15.75" x14ac:dyDescent="0.2">
      <c r="A14" s="7" t="s">
        <v>2</v>
      </c>
      <c r="B14" s="5" t="s">
        <v>43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27</v>
      </c>
      <c r="B16" s="5" t="s">
        <v>3</v>
      </c>
      <c r="C16" s="5">
        <v>1</v>
      </c>
      <c r="D16" s="5">
        <v>1</v>
      </c>
      <c r="E16" s="5">
        <v>0</v>
      </c>
      <c r="F16" s="10">
        <f>SUM(C16:D16)</f>
        <v>2</v>
      </c>
    </row>
    <row r="17" spans="1:6" ht="15.75" x14ac:dyDescent="0.2">
      <c r="A17" s="7" t="s">
        <v>2</v>
      </c>
      <c r="B17" s="5" t="s">
        <v>6</v>
      </c>
      <c r="C17" s="5" t="s">
        <v>10</v>
      </c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9</v>
      </c>
      <c r="B19" s="5" t="s">
        <v>3</v>
      </c>
      <c r="C19" s="5">
        <v>1</v>
      </c>
      <c r="D19" s="5">
        <v>1</v>
      </c>
      <c r="E19" s="5">
        <v>0</v>
      </c>
      <c r="F19" s="10">
        <f>SUM(C19:D19)</f>
        <v>2</v>
      </c>
    </row>
    <row r="20" spans="1:6" ht="15.75" x14ac:dyDescent="0.2">
      <c r="A20" s="7" t="s">
        <v>2</v>
      </c>
      <c r="B20" s="5" t="s">
        <v>7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12</v>
      </c>
      <c r="B22" s="5" t="s">
        <v>3</v>
      </c>
      <c r="C22" s="5">
        <v>1</v>
      </c>
      <c r="D22" s="5">
        <v>1</v>
      </c>
      <c r="E22" s="5">
        <v>0</v>
      </c>
      <c r="F22" s="10">
        <f>SUM(C22:D22)</f>
        <v>2</v>
      </c>
    </row>
    <row r="23" spans="1:6" ht="15.75" x14ac:dyDescent="0.2">
      <c r="A23" s="7" t="s">
        <v>2</v>
      </c>
      <c r="B23" s="5" t="s">
        <v>11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28</v>
      </c>
      <c r="B25" s="5" t="s">
        <v>3</v>
      </c>
      <c r="C25" s="5">
        <v>1</v>
      </c>
      <c r="D25" s="5">
        <v>1</v>
      </c>
      <c r="E25" s="5">
        <v>0</v>
      </c>
      <c r="F25" s="10">
        <f>SUM(C25:D25)</f>
        <v>2</v>
      </c>
    </row>
    <row r="26" spans="1:6" ht="15.75" x14ac:dyDescent="0.2">
      <c r="A26" s="7" t="s">
        <v>2</v>
      </c>
      <c r="B26" s="5" t="s">
        <v>23</v>
      </c>
      <c r="C26" s="5" t="s">
        <v>24</v>
      </c>
      <c r="D26" s="5" t="s">
        <v>26</v>
      </c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29</v>
      </c>
      <c r="B28" s="5" t="s">
        <v>3</v>
      </c>
      <c r="C28" s="5">
        <v>2</v>
      </c>
      <c r="D28" s="5">
        <v>1</v>
      </c>
      <c r="E28" s="5">
        <v>0</v>
      </c>
      <c r="F28" s="10">
        <f>SUM(C28:D28)</f>
        <v>3</v>
      </c>
    </row>
    <row r="29" spans="1:6" ht="15.75" x14ac:dyDescent="0.2">
      <c r="A29" s="7" t="s">
        <v>2</v>
      </c>
      <c r="B29" s="5" t="s">
        <v>13</v>
      </c>
      <c r="C29" s="5" t="s">
        <v>14</v>
      </c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30</v>
      </c>
      <c r="B31" s="5" t="s">
        <v>3</v>
      </c>
      <c r="C31" s="5">
        <v>1</v>
      </c>
      <c r="D31" s="5">
        <v>1</v>
      </c>
      <c r="E31" s="5">
        <v>0</v>
      </c>
      <c r="F31" s="10">
        <f>SUM(C31:D31)</f>
        <v>2</v>
      </c>
    </row>
    <row r="32" spans="1:6" ht="15.75" x14ac:dyDescent="0.2">
      <c r="A32" s="7" t="s">
        <v>2</v>
      </c>
      <c r="B32" s="5" t="s">
        <v>15</v>
      </c>
      <c r="C32" s="5" t="s">
        <v>16</v>
      </c>
      <c r="D32" s="5" t="s">
        <v>17</v>
      </c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31</v>
      </c>
      <c r="B34" s="5" t="s">
        <v>3</v>
      </c>
      <c r="C34" s="5">
        <v>1</v>
      </c>
      <c r="D34" s="5">
        <v>1</v>
      </c>
      <c r="E34" s="5">
        <v>0</v>
      </c>
      <c r="F34" s="10">
        <f>SUM(C34:D34)</f>
        <v>2</v>
      </c>
    </row>
    <row r="35" spans="1:6" ht="15.75" x14ac:dyDescent="0.2">
      <c r="A35" s="7" t="s">
        <v>2</v>
      </c>
      <c r="B35" s="5" t="s">
        <v>18</v>
      </c>
      <c r="C35" s="5" t="s">
        <v>19</v>
      </c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21</v>
      </c>
      <c r="B37" s="5" t="s">
        <v>3</v>
      </c>
      <c r="C37" s="5">
        <v>1</v>
      </c>
      <c r="D37" s="5">
        <v>1</v>
      </c>
      <c r="E37" s="5">
        <v>0</v>
      </c>
      <c r="F37" s="10">
        <f>SUM(C37:D37)</f>
        <v>2</v>
      </c>
    </row>
    <row r="38" spans="1:6" ht="15.75" x14ac:dyDescent="0.2">
      <c r="A38" s="7" t="s">
        <v>2</v>
      </c>
      <c r="B38" s="5" t="s">
        <v>20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32</v>
      </c>
      <c r="B40" s="5" t="s">
        <v>3</v>
      </c>
      <c r="C40" s="5">
        <v>1</v>
      </c>
      <c r="D40" s="5">
        <v>1</v>
      </c>
      <c r="E40" s="5">
        <v>0</v>
      </c>
      <c r="F40" s="10">
        <f>SUM(C40:D40)</f>
        <v>2</v>
      </c>
    </row>
    <row r="41" spans="1:6" ht="15.75" x14ac:dyDescent="0.2">
      <c r="A41" s="7" t="s">
        <v>2</v>
      </c>
      <c r="B41" s="5" t="s">
        <v>22</v>
      </c>
      <c r="C41" s="5" t="s">
        <v>25</v>
      </c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45</v>
      </c>
      <c r="B43" s="5" t="s">
        <v>3</v>
      </c>
      <c r="C43" s="5">
        <v>0</v>
      </c>
      <c r="D43" s="5">
        <v>0</v>
      </c>
      <c r="E43" s="5">
        <v>0</v>
      </c>
      <c r="F43" s="10">
        <f>SUM(C43:D43)</f>
        <v>0</v>
      </c>
    </row>
    <row r="44" spans="1:6" ht="15.75" x14ac:dyDescent="0.2">
      <c r="A44" s="7" t="s">
        <v>2</v>
      </c>
      <c r="B44" s="5" t="s">
        <v>4</v>
      </c>
      <c r="C44" s="5"/>
      <c r="D44" s="5"/>
      <c r="E44" s="5"/>
      <c r="F44" s="5"/>
    </row>
    <row r="45" spans="1:6" ht="6.95" customHeight="1" x14ac:dyDescent="0.2">
      <c r="A45" s="13"/>
      <c r="B45" s="14"/>
      <c r="C45" s="14"/>
      <c r="D45" s="14"/>
      <c r="E45" s="14"/>
      <c r="F45" s="14"/>
    </row>
    <row r="46" spans="1:6" ht="15.75" x14ac:dyDescent="0.2">
      <c r="A46" s="8" t="s">
        <v>33</v>
      </c>
      <c r="B46" s="9"/>
      <c r="C46" s="9">
        <f>SUM(C4:C44)</f>
        <v>15</v>
      </c>
      <c r="D46" s="9">
        <f>SUM(D4:D44)</f>
        <v>12</v>
      </c>
      <c r="E46" s="9">
        <f>SUM(E4:E44)</f>
        <v>1</v>
      </c>
      <c r="F46" s="9"/>
    </row>
    <row r="47" spans="1:6" ht="15.75" x14ac:dyDescent="0.2">
      <c r="A47" s="7" t="s">
        <v>34</v>
      </c>
      <c r="B47" s="5"/>
      <c r="C47" s="5">
        <v>20</v>
      </c>
      <c r="D47" s="5">
        <v>14</v>
      </c>
      <c r="E47" s="5">
        <v>1</v>
      </c>
      <c r="F47" s="5"/>
    </row>
    <row r="48" spans="1:6" ht="15.75" x14ac:dyDescent="0.2">
      <c r="A48" s="15" t="s">
        <v>35</v>
      </c>
      <c r="B48" s="10"/>
      <c r="C48" s="10">
        <f>SUM(C47-C46)</f>
        <v>5</v>
      </c>
      <c r="D48" s="10">
        <f t="shared" ref="D48:E48" si="0">SUM(D47-D46)</f>
        <v>2</v>
      </c>
      <c r="E48" s="10">
        <f t="shared" si="0"/>
        <v>0</v>
      </c>
      <c r="F48" s="10"/>
    </row>
    <row r="49" spans="1:6" x14ac:dyDescent="0.2">
      <c r="A49" s="22" t="s">
        <v>47</v>
      </c>
    </row>
    <row r="52" spans="1:6" x14ac:dyDescent="0.2">
      <c r="B52" s="19"/>
      <c r="C52" s="19"/>
      <c r="D52" s="19"/>
      <c r="E52" s="19"/>
      <c r="F52" s="19"/>
    </row>
    <row r="53" spans="1:6" x14ac:dyDescent="0.2">
      <c r="B53" s="20" t="s">
        <v>44</v>
      </c>
      <c r="C53" s="20"/>
      <c r="D53" s="20"/>
      <c r="E53" s="20"/>
      <c r="F53" s="20"/>
    </row>
    <row r="54" spans="1:6" x14ac:dyDescent="0.2">
      <c r="B54"/>
      <c r="C54"/>
      <c r="D54"/>
      <c r="E54"/>
      <c r="F54"/>
    </row>
  </sheetData>
  <mergeCells count="4">
    <mergeCell ref="B1:C1"/>
    <mergeCell ref="B2:C2"/>
    <mergeCell ref="B52:F52"/>
    <mergeCell ref="B53:F53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2024-08-26T20:25:45Z</cp:lastPrinted>
  <dcterms:created xsi:type="dcterms:W3CDTF">2010-12-21T15:05:34Z</dcterms:created>
  <dcterms:modified xsi:type="dcterms:W3CDTF">2026-01-13T13:38:49Z</dcterms:modified>
</cp:coreProperties>
</file>