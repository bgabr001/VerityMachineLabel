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AEA9944B-B2E3-4339-BA82-539E4C7BB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E61" i="4"/>
  <c r="E63" i="4" s="1"/>
  <c r="D61" i="4"/>
  <c r="D63" i="4" s="1"/>
  <c r="C61" i="4"/>
  <c r="C63" i="4" s="1"/>
  <c r="F49" i="4"/>
  <c r="F46" i="4"/>
  <c r="F43" i="4"/>
  <c r="F40" i="4"/>
  <c r="F37" i="4"/>
  <c r="F34" i="4"/>
  <c r="F31" i="4"/>
  <c r="F28" i="4"/>
  <c r="F25" i="4"/>
  <c r="F22" i="4"/>
  <c r="F19" i="4"/>
  <c r="F16" i="4"/>
  <c r="F13" i="4"/>
  <c r="F4" i="4"/>
  <c r="F58" i="4"/>
  <c r="F55" i="4"/>
  <c r="F52" i="4"/>
  <c r="F10" i="4"/>
  <c r="F61" i="4" l="1"/>
</calcChain>
</file>

<file path=xl/sharedStrings.xml><?xml version="1.0" encoding="utf-8"?>
<sst xmlns="http://schemas.openxmlformats.org/spreadsheetml/2006/main" count="87" uniqueCount="54">
  <si>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</si>
  <si>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</si>
  <si>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</si>
  <si>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</si>
  <si>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</si>
  <si>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</si>
  <si>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</si>
  <si>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</si>
  <si>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</si>
  <si>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</si>
  <si>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COUNTY: TODD</t>
  </si>
  <si>
    <t>EARLY VOTING</t>
  </si>
  <si>
    <t>ALLEGRE</t>
  </si>
  <si>
    <t>ELKTON #1</t>
  </si>
  <si>
    <t>FAIRVIEW</t>
  </si>
  <si>
    <t>SHARON GROVE</t>
  </si>
  <si>
    <t>CLIFTY</t>
  </si>
  <si>
    <t>ELKTON #2</t>
  </si>
  <si>
    <t>KIRKMANSVILLE</t>
  </si>
  <si>
    <t>ELKTON #3</t>
  </si>
  <si>
    <t>TRENTON</t>
  </si>
  <si>
    <t>ALLENSVILLE</t>
  </si>
  <si>
    <t>ELKTON #4</t>
  </si>
  <si>
    <t>GUTHRIE #1</t>
  </si>
  <si>
    <t>GUTHRIE #2</t>
  </si>
  <si>
    <t>ALL PRECINCTS</t>
  </si>
  <si>
    <t xml:space="preserve">     Signature                                           Date</t>
  </si>
  <si>
    <t>A101</t>
  </si>
  <si>
    <t>A102</t>
  </si>
  <si>
    <t>A103</t>
  </si>
  <si>
    <t>B101</t>
  </si>
  <si>
    <t>B102</t>
  </si>
  <si>
    <t>B103</t>
  </si>
  <si>
    <t>B104</t>
  </si>
  <si>
    <t>C101</t>
  </si>
  <si>
    <t>C102</t>
  </si>
  <si>
    <t>D101</t>
  </si>
  <si>
    <t>D102</t>
  </si>
  <si>
    <t>E101</t>
  </si>
  <si>
    <t>E102</t>
  </si>
  <si>
    <t xml:space="preserve">           PRECINCTS</t>
  </si>
  <si>
    <t xml:space="preserve">      PRECINCTS</t>
  </si>
  <si>
    <t xml:space="preserve">            PRECINCTS</t>
  </si>
  <si>
    <t xml:space="preserve">          PRECINCTS</t>
  </si>
  <si>
    <t xml:space="preserve">         PRECINCTS</t>
  </si>
  <si>
    <t xml:space="preserve">              PRECINCTS</t>
  </si>
  <si>
    <t xml:space="preserve">                PRECINCTS</t>
  </si>
  <si>
    <t>MACHINES USED FOR ELECTION</t>
  </si>
  <si>
    <t>MACHINES OWNED</t>
  </si>
  <si>
    <t># OF SPARES</t>
  </si>
  <si>
    <t>ABSENTEE WALK-IN</t>
  </si>
  <si>
    <t>GUTHRIE #1 &amp; GUTHRIE #2 ADA</t>
  </si>
  <si>
    <t>ELKTON #1 &amp; ELKTON #4 ADA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</si>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</sst>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9"/>
  <sheetViews>
    <sheetView tabSelected="1" workbookViewId="0">
      <selection activeCell="A3" sqref="A3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10</v>
      </c>
      <c r="B1" s="19"/>
      <c r="C1" s="20"/>
      <c r="D1" s="19"/>
      <c r="E1" s="20"/>
      <c r="F1" s="11"/>
    </row>
    <row r="2" spans="1:6" ht="20.25" x14ac:dyDescent="0.2">
      <c r="A2" s="17" t="s">
        <v>53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50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40</v>
      </c>
      <c r="B14" s="5" t="s">
        <v>27</v>
      </c>
      <c r="C14" s="5"/>
      <c r="D14" s="12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3</v>
      </c>
      <c r="C16" s="5">
        <v>1</v>
      </c>
      <c r="D16" s="16">
        <v>0</v>
      </c>
      <c r="E16" s="5">
        <v>0</v>
      </c>
      <c r="F16" s="10">
        <f>SUM(C16:E16)</f>
        <v>1</v>
      </c>
    </row>
    <row r="17" spans="1:6" ht="15.75" x14ac:dyDescent="0.2">
      <c r="A17" s="7" t="s">
        <v>42</v>
      </c>
      <c r="B17" s="5" t="s">
        <v>28</v>
      </c>
      <c r="C17" s="5"/>
      <c r="D17" s="12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14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45</v>
      </c>
      <c r="B20" s="5" t="s">
        <v>29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15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43</v>
      </c>
      <c r="B23" s="5" t="s">
        <v>30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16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45</v>
      </c>
      <c r="B26" s="5" t="s">
        <v>31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17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42</v>
      </c>
      <c r="B29" s="5" t="s">
        <v>32</v>
      </c>
      <c r="C29" s="5"/>
      <c r="D29" s="12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18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43</v>
      </c>
      <c r="B32" s="5" t="s">
        <v>33</v>
      </c>
      <c r="C32" s="5"/>
      <c r="D32" s="12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19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42</v>
      </c>
      <c r="B35" s="5" t="s">
        <v>34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20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46</v>
      </c>
      <c r="B38" s="5" t="s">
        <v>35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21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45</v>
      </c>
      <c r="B41" s="5" t="s">
        <v>36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22</v>
      </c>
      <c r="B43" s="5" t="s">
        <v>3</v>
      </c>
      <c r="C43" s="5">
        <v>1</v>
      </c>
      <c r="D43" s="16">
        <v>0</v>
      </c>
      <c r="E43" s="5">
        <v>0</v>
      </c>
      <c r="F43" s="10">
        <f>SUM(C43:E43)</f>
        <v>1</v>
      </c>
    </row>
    <row r="44" spans="1:6" ht="15.75" x14ac:dyDescent="0.2">
      <c r="A44" s="7" t="s">
        <v>44</v>
      </c>
      <c r="B44" s="5" t="s">
        <v>37</v>
      </c>
      <c r="C44" s="5"/>
      <c r="D44" s="12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23</v>
      </c>
      <c r="B46" s="5" t="s">
        <v>3</v>
      </c>
      <c r="C46" s="5">
        <v>1</v>
      </c>
      <c r="D46" s="16">
        <v>0</v>
      </c>
      <c r="E46" s="5">
        <v>0</v>
      </c>
      <c r="F46" s="10">
        <f>SUM(C46:E46)</f>
        <v>1</v>
      </c>
    </row>
    <row r="47" spans="1:6" ht="15.75" x14ac:dyDescent="0.2">
      <c r="A47" s="7" t="s">
        <v>43</v>
      </c>
      <c r="B47" s="5" t="s">
        <v>38</v>
      </c>
      <c r="C47" s="5"/>
      <c r="D47" s="12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24</v>
      </c>
      <c r="B49" s="5" t="s">
        <v>3</v>
      </c>
      <c r="C49" s="5">
        <v>1</v>
      </c>
      <c r="D49" s="16">
        <v>0</v>
      </c>
      <c r="E49" s="5">
        <v>0</v>
      </c>
      <c r="F49" s="10">
        <f>SUM(C49:E49)</f>
        <v>1</v>
      </c>
    </row>
    <row r="50" spans="1:6" ht="15.75" x14ac:dyDescent="0.2">
      <c r="A50" s="7" t="s">
        <v>42</v>
      </c>
      <c r="B50" s="5" t="s">
        <v>39</v>
      </c>
      <c r="C50" s="5"/>
      <c r="D50" s="12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51</v>
      </c>
      <c r="B52" s="5" t="s">
        <v>3</v>
      </c>
      <c r="C52" s="5">
        <v>0</v>
      </c>
      <c r="D52" s="5">
        <v>1</v>
      </c>
      <c r="E52" s="5">
        <v>0</v>
      </c>
      <c r="F52" s="10">
        <f>SUM(C52:E52)</f>
        <v>1</v>
      </c>
    </row>
    <row r="53" spans="1:6" ht="15.75" x14ac:dyDescent="0.2">
      <c r="A53" s="7" t="s">
        <v>41</v>
      </c>
      <c r="B53" s="5" t="s">
        <v>38</v>
      </c>
      <c r="C53" s="5" t="s">
        <v>39</v>
      </c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52</v>
      </c>
      <c r="B55" s="5" t="s">
        <v>3</v>
      </c>
      <c r="C55" s="5">
        <v>0</v>
      </c>
      <c r="D55" s="5">
        <v>1</v>
      </c>
      <c r="E55" s="5">
        <v>0</v>
      </c>
      <c r="F55" s="10">
        <f>SUM(C55:E55)</f>
        <v>1</v>
      </c>
    </row>
    <row r="56" spans="1:6" ht="15.75" x14ac:dyDescent="0.2">
      <c r="A56" s="7" t="s">
        <v>40</v>
      </c>
      <c r="B56" s="5" t="s">
        <v>28</v>
      </c>
      <c r="C56" s="5" t="s">
        <v>37</v>
      </c>
      <c r="D56" s="5"/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25</v>
      </c>
      <c r="B58" s="5" t="s">
        <v>3</v>
      </c>
      <c r="C58" s="5">
        <v>0</v>
      </c>
      <c r="D58" s="5">
        <v>0</v>
      </c>
      <c r="E58" s="5">
        <v>0</v>
      </c>
      <c r="F58" s="10">
        <f>SUM(C58:E58)</f>
        <v>0</v>
      </c>
    </row>
    <row r="59" spans="1:6" ht="15.75" x14ac:dyDescent="0.2">
      <c r="A59" s="7" t="s">
        <v>2</v>
      </c>
      <c r="B59" s="5" t="s">
        <v>6</v>
      </c>
      <c r="C59" s="5"/>
      <c r="D59" s="5"/>
      <c r="E59" s="5"/>
      <c r="F59" s="5"/>
    </row>
    <row r="60" spans="1:6" ht="6.95" customHeight="1" x14ac:dyDescent="0.2">
      <c r="A60" s="13"/>
      <c r="B60" s="14"/>
      <c r="C60" s="14"/>
      <c r="D60" s="14"/>
      <c r="E60" s="14"/>
      <c r="F60" s="14"/>
    </row>
    <row r="61" spans="1:6" ht="15.75" x14ac:dyDescent="0.2">
      <c r="A61" s="8" t="s">
        <v>47</v>
      </c>
      <c r="B61" s="9"/>
      <c r="C61" s="9">
        <f>SUM(C4:C59)</f>
        <v>16</v>
      </c>
      <c r="D61" s="9">
        <f>SUM(D4:D59)</f>
        <v>12</v>
      </c>
      <c r="E61" s="9">
        <f>SUM(E4:E59)</f>
        <v>1</v>
      </c>
      <c r="F61" s="9">
        <f>SUM(C61:E61)</f>
        <v>29</v>
      </c>
    </row>
    <row r="62" spans="1:6" ht="15.75" x14ac:dyDescent="0.2">
      <c r="A62" s="7" t="s">
        <v>48</v>
      </c>
      <c r="B62" s="5"/>
      <c r="C62" s="5">
        <v>17</v>
      </c>
      <c r="D62" s="5">
        <v>13</v>
      </c>
      <c r="E62" s="5">
        <v>1</v>
      </c>
      <c r="F62" s="5"/>
    </row>
    <row r="63" spans="1:6" ht="15.75" x14ac:dyDescent="0.2">
      <c r="A63" s="15" t="s">
        <v>49</v>
      </c>
      <c r="B63" s="10"/>
      <c r="C63" s="10">
        <f>SUM(C62-C61)</f>
        <v>1</v>
      </c>
      <c r="D63" s="10">
        <f t="shared" ref="D63:E63" si="0">SUM(D62-D61)</f>
        <v>1</v>
      </c>
      <c r="E63" s="10">
        <f t="shared" si="0"/>
        <v>0</v>
      </c>
      <c r="F63" s="10"/>
    </row>
    <row r="67" spans="2:6" x14ac:dyDescent="0.2">
      <c r="B67" s="23"/>
      <c r="C67" s="23"/>
      <c r="D67" s="23"/>
      <c r="E67" s="23"/>
      <c r="F67" s="23"/>
    </row>
    <row r="68" spans="2:6" x14ac:dyDescent="0.2">
      <c r="B68" s="18" t="s">
        <v>26</v>
      </c>
      <c r="C68" s="18"/>
      <c r="D68" s="18"/>
      <c r="E68" s="18"/>
      <c r="F68" s="18"/>
    </row>
    <row r="69" spans="2:6" x14ac:dyDescent="0.2">
      <c r="B69"/>
      <c r="C69"/>
      <c r="D69"/>
      <c r="E69"/>
      <c r="F69"/>
    </row>
  </sheetData>
  <mergeCells count="6">
    <mergeCell ref="B68:F68"/>
    <mergeCell ref="B1:C1"/>
    <mergeCell ref="B2:C2"/>
    <mergeCell ref="D1:E1"/>
    <mergeCell ref="D2:E2"/>
    <mergeCell ref="B67:F67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2024-07-17T11:47:25Z</cp:lastPrinted>
  <dcterms:created xsi:type="dcterms:W3CDTF">2010-12-21T15:05:34Z</dcterms:created>
  <dcterms:modified xsi:type="dcterms:W3CDTF">2026-01-09T13:40:45Z</dcterms:modified>
</cp:coreProperties>
</file>